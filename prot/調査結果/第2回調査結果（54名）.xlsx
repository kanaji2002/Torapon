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aji Rinntarou\Desktop\Torapon\prot\調査結果\"/>
    </mc:Choice>
  </mc:AlternateContent>
  <xr:revisionPtr revIDLastSave="0" documentId="13_ncr:1_{207548CE-A644-45A2-BC57-2DF0BF6A26CA}" xr6:coauthVersionLast="47" xr6:coauthVersionMax="47" xr10:uidLastSave="{00000000-0000-0000-0000-000000000000}"/>
  <bookViews>
    <workbookView xWindow="-108" yWindow="-108" windowWidth="23256" windowHeight="12456" activeTab="1" xr2:uid="{7C8D910D-AE4E-4AD5-A898-7629F0EB9761}"/>
  </bookViews>
  <sheets>
    <sheet name="データ" sheetId="1" r:id="rId1"/>
    <sheet name="グラフ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" l="1"/>
  <c r="J20" i="2"/>
  <c r="J19" i="2"/>
  <c r="J21" i="2"/>
  <c r="J23" i="2"/>
  <c r="J26" i="2"/>
  <c r="J27" i="2"/>
  <c r="J30" i="2"/>
  <c r="J29" i="2"/>
  <c r="J28" i="2"/>
  <c r="J31" i="2"/>
  <c r="J12" i="2"/>
  <c r="J13" i="2"/>
  <c r="J14" i="2"/>
  <c r="J15" i="2"/>
  <c r="J16" i="2"/>
  <c r="J3" i="2"/>
  <c r="J5" i="2"/>
  <c r="J8" i="2"/>
  <c r="J9" i="2"/>
  <c r="J7" i="2"/>
  <c r="J6" i="2"/>
  <c r="J4" i="2"/>
</calcChain>
</file>

<file path=xl/sharedStrings.xml><?xml version="1.0" encoding="utf-8"?>
<sst xmlns="http://schemas.openxmlformats.org/spreadsheetml/2006/main" count="70" uniqueCount="44">
  <si>
    <t>質問</t>
    <rPh sb="0" eb="2">
      <t>シツモン</t>
    </rPh>
    <phoneticPr fontId="1"/>
  </si>
  <si>
    <t>分かりやすいマップ</t>
    <rPh sb="0" eb="1">
      <t>ワ</t>
    </rPh>
    <phoneticPr fontId="1"/>
  </si>
  <si>
    <t>おすすめの経路の提示</t>
    <rPh sb="5" eb="7">
      <t>ケイロ</t>
    </rPh>
    <rPh sb="8" eb="10">
      <t>テイジ</t>
    </rPh>
    <phoneticPr fontId="1"/>
  </si>
  <si>
    <t>各建物の詳細説明</t>
    <rPh sb="0" eb="1">
      <t>カク</t>
    </rPh>
    <rPh sb="1" eb="3">
      <t>タテモノ</t>
    </rPh>
    <rPh sb="4" eb="6">
      <t>ショウサイ</t>
    </rPh>
    <rPh sb="6" eb="8">
      <t>セツメイ</t>
    </rPh>
    <phoneticPr fontId="1"/>
  </si>
  <si>
    <t>幅広い種類の飲食物</t>
    <rPh sb="0" eb="1">
      <t>ハバ</t>
    </rPh>
    <rPh sb="1" eb="2">
      <t>ヒロ</t>
    </rPh>
    <rPh sb="3" eb="5">
      <t>シュルイ</t>
    </rPh>
    <rPh sb="6" eb="8">
      <t>インショク</t>
    </rPh>
    <rPh sb="8" eb="9">
      <t>ブツ</t>
    </rPh>
    <phoneticPr fontId="1"/>
  </si>
  <si>
    <t>観光客との交流</t>
    <rPh sb="0" eb="3">
      <t>カンコウキャク</t>
    </rPh>
    <rPh sb="5" eb="7">
      <t>コウリュウ</t>
    </rPh>
    <phoneticPr fontId="1"/>
  </si>
  <si>
    <t>栗林公園内にある船の事前予約機能</t>
    <rPh sb="0" eb="2">
      <t>リツリン</t>
    </rPh>
    <rPh sb="2" eb="4">
      <t>コウエン</t>
    </rPh>
    <rPh sb="4" eb="5">
      <t>ナイ</t>
    </rPh>
    <rPh sb="8" eb="9">
      <t>フネ</t>
    </rPh>
    <rPh sb="10" eb="12">
      <t>ジゼン</t>
    </rPh>
    <rPh sb="12" eb="14">
      <t>ヨヤク</t>
    </rPh>
    <rPh sb="14" eb="16">
      <t>キノウ</t>
    </rPh>
    <phoneticPr fontId="1"/>
  </si>
  <si>
    <t>栗林公園内へのアクセスのしやすさの改善</t>
    <rPh sb="0" eb="5">
      <t>リツリンコウエンナイ</t>
    </rPh>
    <rPh sb="17" eb="19">
      <t>カイゼン</t>
    </rPh>
    <phoneticPr fontId="1"/>
  </si>
  <si>
    <t>2. 栗林公園の観光の満足度</t>
    <rPh sb="3" eb="7">
      <t>リツリンコウエン</t>
    </rPh>
    <rPh sb="8" eb="10">
      <t>カンコウ</t>
    </rPh>
    <rPh sb="11" eb="14">
      <t>マンゾクド</t>
    </rPh>
    <phoneticPr fontId="1"/>
  </si>
  <si>
    <t>1(満足していない）</t>
    <rPh sb="2" eb="4">
      <t>マンゾク</t>
    </rPh>
    <phoneticPr fontId="1"/>
  </si>
  <si>
    <t>5(満足している）</t>
    <rPh sb="2" eb="4">
      <t>マンゾク</t>
    </rPh>
    <phoneticPr fontId="1"/>
  </si>
  <si>
    <t>3. 栗林公園に何分程度滞在しましたか？</t>
    <rPh sb="3" eb="5">
      <t>リツリン</t>
    </rPh>
    <rPh sb="5" eb="7">
      <t>コウエン</t>
    </rPh>
    <rPh sb="8" eb="10">
      <t>ナンフン</t>
    </rPh>
    <rPh sb="10" eb="12">
      <t>テイド</t>
    </rPh>
    <rPh sb="12" eb="14">
      <t>タイザイ</t>
    </rPh>
    <phoneticPr fontId="1"/>
  </si>
  <si>
    <t>30分未満</t>
    <rPh sb="2" eb="3">
      <t>フン</t>
    </rPh>
    <rPh sb="3" eb="5">
      <t>ミマン</t>
    </rPh>
    <phoneticPr fontId="1"/>
  </si>
  <si>
    <t>30~60分</t>
    <rPh sb="5" eb="6">
      <t>フン</t>
    </rPh>
    <phoneticPr fontId="1"/>
  </si>
  <si>
    <t>1~2時間</t>
    <rPh sb="3" eb="5">
      <t>ジカン</t>
    </rPh>
    <phoneticPr fontId="1"/>
  </si>
  <si>
    <t>2~3時間</t>
    <rPh sb="3" eb="5">
      <t>ジカン</t>
    </rPh>
    <phoneticPr fontId="1"/>
  </si>
  <si>
    <t>3時間以上</t>
    <rPh sb="1" eb="3">
      <t>ジカン</t>
    </rPh>
    <rPh sb="3" eb="5">
      <t>イジョウ</t>
    </rPh>
    <phoneticPr fontId="1"/>
  </si>
  <si>
    <t>マップ機能</t>
    <rPh sb="3" eb="5">
      <t>キノウ</t>
    </rPh>
    <phoneticPr fontId="1"/>
  </si>
  <si>
    <t>情報・写真（各建物の詳細）</t>
    <rPh sb="0" eb="2">
      <t>ジョウホウ</t>
    </rPh>
    <rPh sb="3" eb="5">
      <t>シャシン</t>
    </rPh>
    <rPh sb="6" eb="7">
      <t>カク</t>
    </rPh>
    <rPh sb="7" eb="9">
      <t>タテモノ</t>
    </rPh>
    <rPh sb="10" eb="12">
      <t>ショウサイ</t>
    </rPh>
    <phoneticPr fontId="1"/>
  </si>
  <si>
    <t>多言語化</t>
    <rPh sb="0" eb="3">
      <t>タゲンゴ</t>
    </rPh>
    <rPh sb="3" eb="4">
      <t>カ</t>
    </rPh>
    <phoneticPr fontId="1"/>
  </si>
  <si>
    <t>バッジ機能</t>
    <rPh sb="3" eb="5">
      <t>キノウ</t>
    </rPh>
    <phoneticPr fontId="1"/>
  </si>
  <si>
    <t>近隣のお店の紹介</t>
    <rPh sb="0" eb="2">
      <t>キンリン</t>
    </rPh>
    <rPh sb="4" eb="5">
      <t>ミセ</t>
    </rPh>
    <rPh sb="6" eb="8">
      <t>ショウカイ</t>
    </rPh>
    <phoneticPr fontId="1"/>
  </si>
  <si>
    <t>その他</t>
    <rPh sb="2" eb="3">
      <t>タ</t>
    </rPh>
    <phoneticPr fontId="1"/>
  </si>
  <si>
    <t>1. 栗林公園観光をもっと良いものにするには
何があれば良いと思いますか？（複数回答可）</t>
    <rPh sb="3" eb="5">
      <t>リツリン</t>
    </rPh>
    <rPh sb="5" eb="7">
      <t>コウエン</t>
    </rPh>
    <rPh sb="7" eb="9">
      <t>カンコウ</t>
    </rPh>
    <rPh sb="13" eb="14">
      <t>ヨ</t>
    </rPh>
    <rPh sb="23" eb="24">
      <t>ナニ</t>
    </rPh>
    <rPh sb="28" eb="29">
      <t>ヨ</t>
    </rPh>
    <rPh sb="31" eb="32">
      <t>オモ</t>
    </rPh>
    <rPh sb="38" eb="40">
      <t>フクスウ</t>
    </rPh>
    <rPh sb="40" eb="42">
      <t>カイトウ</t>
    </rPh>
    <rPh sb="42" eb="43">
      <t>カ</t>
    </rPh>
    <phoneticPr fontId="1"/>
  </si>
  <si>
    <t>英語圏（0）</t>
    <rPh sb="0" eb="2">
      <t>エイゴ</t>
    </rPh>
    <rPh sb="2" eb="3">
      <t>ケン</t>
    </rPh>
    <phoneticPr fontId="1"/>
  </si>
  <si>
    <t>中国，台湾，香港（8）</t>
    <rPh sb="0" eb="2">
      <t>チュウゴク</t>
    </rPh>
    <rPh sb="3" eb="5">
      <t>タイワン</t>
    </rPh>
    <rPh sb="6" eb="8">
      <t>ホンコン</t>
    </rPh>
    <phoneticPr fontId="1"/>
  </si>
  <si>
    <t>韓国（4)</t>
    <rPh sb="0" eb="2">
      <t>カンコク</t>
    </rPh>
    <phoneticPr fontId="1"/>
  </si>
  <si>
    <t>合計54人</t>
    <rPh sb="0" eb="2">
      <t>ゴウケイ</t>
    </rPh>
    <rPh sb="4" eb="5">
      <t>ニン</t>
    </rPh>
    <phoneticPr fontId="1"/>
  </si>
  <si>
    <t>　</t>
    <phoneticPr fontId="1"/>
  </si>
  <si>
    <t>日本(42人）</t>
    <rPh sb="0" eb="2">
      <t>ニホン</t>
    </rPh>
    <rPh sb="5" eb="6">
      <t>ニン</t>
    </rPh>
    <phoneticPr fontId="1"/>
  </si>
  <si>
    <t>国籍（合計54人）</t>
    <rPh sb="0" eb="2">
      <t>コクセキ</t>
    </rPh>
    <rPh sb="3" eb="5">
      <t>ゴウケイ</t>
    </rPh>
    <rPh sb="7" eb="8">
      <t>ニン</t>
    </rPh>
    <phoneticPr fontId="1"/>
  </si>
  <si>
    <t>日本(42）</t>
    <phoneticPr fontId="1"/>
  </si>
  <si>
    <t>栗林公園の出口で実施したアンケート</t>
    <rPh sb="0" eb="2">
      <t>リツリン</t>
    </rPh>
    <rPh sb="2" eb="4">
      <t>コウエン</t>
    </rPh>
    <rPh sb="5" eb="7">
      <t>デグチ</t>
    </rPh>
    <rPh sb="8" eb="10">
      <t>ジッシ</t>
    </rPh>
    <phoneticPr fontId="1"/>
  </si>
  <si>
    <t>実施日</t>
    <rPh sb="0" eb="2">
      <t>ジッシ</t>
    </rPh>
    <rPh sb="2" eb="3">
      <t>ヒ</t>
    </rPh>
    <phoneticPr fontId="1"/>
  </si>
  <si>
    <t>9:30~12:00</t>
    <phoneticPr fontId="1"/>
  </si>
  <si>
    <t>日本(42)</t>
    <rPh sb="0" eb="2">
      <t>ニホン</t>
    </rPh>
    <phoneticPr fontId="1"/>
  </si>
  <si>
    <t>中国，台湾，香港(8)</t>
    <phoneticPr fontId="1"/>
  </si>
  <si>
    <t>韓国(4)</t>
    <rPh sb="0" eb="2">
      <t>カンコク</t>
    </rPh>
    <phoneticPr fontId="1"/>
  </si>
  <si>
    <t>4. プロトタイプを見て，このシステムの，
どの部分に価値を感じますか？</t>
    <rPh sb="10" eb="11">
      <t>ミ</t>
    </rPh>
    <rPh sb="24" eb="26">
      <t>ブブン</t>
    </rPh>
    <rPh sb="27" eb="29">
      <t>カチ</t>
    </rPh>
    <rPh sb="30" eb="31">
      <t>カン</t>
    </rPh>
    <phoneticPr fontId="1"/>
  </si>
  <si>
    <t>1. 栗林公園の観光をもっと良いものにするには
何があれば良いと思いますか？（複数回答可）</t>
    <rPh sb="3" eb="5">
      <t>リツリン</t>
    </rPh>
    <rPh sb="5" eb="7">
      <t>コウエン</t>
    </rPh>
    <rPh sb="8" eb="10">
      <t>カンコウ</t>
    </rPh>
    <rPh sb="14" eb="15">
      <t>ヨ</t>
    </rPh>
    <rPh sb="24" eb="25">
      <t>ナニ</t>
    </rPh>
    <rPh sb="29" eb="30">
      <t>ヨ</t>
    </rPh>
    <rPh sb="32" eb="33">
      <t>オモ</t>
    </rPh>
    <rPh sb="39" eb="41">
      <t>フクスウ</t>
    </rPh>
    <rPh sb="41" eb="43">
      <t>カイトウ</t>
    </rPh>
    <rPh sb="43" eb="44">
      <t>カ</t>
    </rPh>
    <phoneticPr fontId="1"/>
  </si>
  <si>
    <t>5（とても満足）</t>
    <rPh sb="5" eb="7">
      <t>マンゾク</t>
    </rPh>
    <phoneticPr fontId="1"/>
  </si>
  <si>
    <t>3（ふつう）</t>
    <phoneticPr fontId="1"/>
  </si>
  <si>
    <t>4（やや満足）</t>
    <rPh sb="4" eb="6">
      <t>マンゾク</t>
    </rPh>
    <rPh sb="6" eb="7">
      <t>マンゾク</t>
    </rPh>
    <phoneticPr fontId="1"/>
  </si>
  <si>
    <t>2（あまり）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</si>
</sst>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 diagonalDown="1">
      <left/>
      <right/>
      <top style="medium">
        <color indexed="64"/>
      </top>
      <bottom style="medium">
        <color indexed="64"/>
      </bottom>
      <diagonal style="thin">
        <color auto="1"/>
      </diagonal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14" fontId="0" fillId="0" borderId="0" xfId="0" applyNumberFormat="1">
      <alignment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88F-4A96-938B-0446357FA62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88F-4A96-938B-0446357FA62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88F-4A96-938B-0446357FA62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88F-4A96-938B-0446357FA622}"/>
              </c:ext>
            </c:extLst>
          </c:dPt>
          <c:dLbls>
            <c:dLbl>
              <c:idx val="0"/>
              <c:layout>
                <c:manualLayout>
                  <c:x val="3.3199923666317237E-2"/>
                  <c:y val="-9.2567520535229778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8F-4A96-938B-0446357FA622}"/>
                </c:ext>
              </c:extLst>
            </c:dLbl>
            <c:dLbl>
              <c:idx val="1"/>
              <c:layout>
                <c:manualLayout>
                  <c:x val="-5.7489282798201528E-2"/>
                  <c:y val="7.34391702426490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8F-4A96-938B-0446357FA622}"/>
                </c:ext>
              </c:extLst>
            </c:dLbl>
            <c:dLbl>
              <c:idx val="2"/>
              <c:layout>
                <c:manualLayout>
                  <c:x val="-9.6449981999764553E-2"/>
                  <c:y val="2.75598639595738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8F-4A96-938B-0446357FA622}"/>
                </c:ext>
              </c:extLst>
            </c:dLbl>
            <c:dLbl>
              <c:idx val="3"/>
              <c:layout>
                <c:manualLayout>
                  <c:x val="7.7304230189214826E-2"/>
                  <c:y val="-2.0920044879978022E-17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4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ja-JP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8F-4A96-938B-0446357FA62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グラフ!$L$3:$L$6</c:f>
              <c:strCache>
                <c:ptCount val="3"/>
                <c:pt idx="0">
                  <c:v>日本(42)</c:v>
                </c:pt>
                <c:pt idx="1">
                  <c:v>中国，台湾，香港(8)</c:v>
                </c:pt>
                <c:pt idx="2">
                  <c:v>韓国(4)</c:v>
                </c:pt>
              </c:strCache>
            </c:strRef>
          </c:cat>
          <c:val>
            <c:numRef>
              <c:f>グラフ!$M$3:$M$6</c:f>
              <c:numCache>
                <c:formatCode>General</c:formatCode>
                <c:ptCount val="4"/>
                <c:pt idx="0">
                  <c:v>42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F-4A96-938B-0446357FA622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1C-4F9E-8EDC-D71F3103245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1C-4F9E-8EDC-D71F3103245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1C-4F9E-8EDC-D71F3103245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B1C-4F9E-8EDC-D71F3103245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B1C-4F9E-8EDC-D71F3103245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B1C-4F9E-8EDC-D71F3103245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B1C-4F9E-8EDC-D71F3103245E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グラフ!$B$3:$B$9</c:f>
              <c:strCache>
                <c:ptCount val="7"/>
                <c:pt idx="0">
                  <c:v>おすすめの経路の提示</c:v>
                </c:pt>
                <c:pt idx="1">
                  <c:v>分かりやすいマップ</c:v>
                </c:pt>
                <c:pt idx="2">
                  <c:v>各建物の詳細説明</c:v>
                </c:pt>
                <c:pt idx="3">
                  <c:v>栗林公園内へのアクセスのしやすさの改善</c:v>
                </c:pt>
                <c:pt idx="4">
                  <c:v>栗林公園内にある船の事前予約機能</c:v>
                </c:pt>
                <c:pt idx="5">
                  <c:v>幅広い種類の飲食物</c:v>
                </c:pt>
                <c:pt idx="6">
                  <c:v>観光客との交流</c:v>
                </c:pt>
              </c:strCache>
            </c:strRef>
          </c:cat>
          <c:val>
            <c:numRef>
              <c:f>グラフ!$J$3:$J$9</c:f>
              <c:numCache>
                <c:formatCode>General</c:formatCode>
                <c:ptCount val="7"/>
                <c:pt idx="0">
                  <c:v>15</c:v>
                </c:pt>
                <c:pt idx="1">
                  <c:v>13</c:v>
                </c:pt>
                <c:pt idx="2">
                  <c:v>8</c:v>
                </c:pt>
                <c:pt idx="3">
                  <c:v>7</c:v>
                </c:pt>
                <c:pt idx="4">
                  <c:v>6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B1-4EFE-94D6-A5F85099C8B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6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overlay val="0"/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栗林公園の観光の満足度は？</a:t>
            </a:r>
          </a:p>
        </c:rich>
      </c:tx>
      <c:layout>
        <c:manualLayout>
          <c:xMode val="edge"/>
          <c:yMode val="edge"/>
          <c:x val="0.18685957116472834"/>
          <c:y val="3.5282961323947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606178550578005E-2"/>
          <c:y val="0.22214202741689318"/>
          <c:w val="0.51537441862537625"/>
          <c:h val="0.7778579725831068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4C96-46CE-8B03-45262CBB0F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4C96-46CE-8B03-45262CBB0FD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4C96-46CE-8B03-45262CBB0FD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4C96-46CE-8B03-45262CBB0FD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4C96-46CE-8B03-45262CBB0FD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4C96-46CE-8B03-45262CBB0FD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4C96-46CE-8B03-45262CBB0FD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グラフ!$B$12:$B$16</c:f>
              <c:strCache>
                <c:ptCount val="5"/>
                <c:pt idx="0">
                  <c:v>5（とても満足）</c:v>
                </c:pt>
                <c:pt idx="1">
                  <c:v>4（やや満足）</c:v>
                </c:pt>
                <c:pt idx="2">
                  <c:v>3（ふつう）</c:v>
                </c:pt>
                <c:pt idx="3">
                  <c:v>2（あまり）</c:v>
                </c:pt>
                <c:pt idx="4">
                  <c:v>1(満足していない）</c:v>
                </c:pt>
              </c:strCache>
            </c:strRef>
          </c:cat>
          <c:val>
            <c:numRef>
              <c:f>グラフ!$J$12:$J$16</c:f>
              <c:numCache>
                <c:formatCode>General</c:formatCode>
                <c:ptCount val="5"/>
                <c:pt idx="0">
                  <c:v>34</c:v>
                </c:pt>
                <c:pt idx="1">
                  <c:v>13</c:v>
                </c:pt>
                <c:pt idx="2">
                  <c:v>12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4C96-46CE-8B03-45262CBB0FD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ayout>
        <c:manualLayout>
          <c:xMode val="edge"/>
          <c:yMode val="edge"/>
          <c:x val="0.67846979594567836"/>
          <c:y val="0.4034225893922736"/>
          <c:w val="0.26202193540382124"/>
          <c:h val="0.33221217468019409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Q.3. </a:t>
            </a:r>
            <a:r>
              <a:rPr lang="ja-JP" altLang="en-US"/>
              <a:t>栗林公園での滞在時間は？</a:t>
            </a:r>
          </a:p>
        </c:rich>
      </c:tx>
      <c:layout>
        <c:manualLayout>
          <c:xMode val="edge"/>
          <c:yMode val="edge"/>
          <c:x val="0.18685957116472834"/>
          <c:y val="3.52829613239475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F922-43B6-A92E-3AB44E62AA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F922-43B6-A92E-3AB44E62AA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F922-43B6-A92E-3AB44E62AA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F922-43B6-A92E-3AB44E62AA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F922-43B6-A92E-3AB44E62AA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F922-43B6-A92E-3AB44E62AA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F922-43B6-A92E-3AB44E62AAF0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グラフ!$B$19:$B$23</c:f>
              <c:strCache>
                <c:ptCount val="5"/>
                <c:pt idx="0">
                  <c:v>1~2時間</c:v>
                </c:pt>
                <c:pt idx="1">
                  <c:v>30~60分</c:v>
                </c:pt>
                <c:pt idx="2">
                  <c:v>2~3時間</c:v>
                </c:pt>
                <c:pt idx="3">
                  <c:v>30分未満</c:v>
                </c:pt>
                <c:pt idx="4">
                  <c:v>3時間以上</c:v>
                </c:pt>
              </c:strCache>
            </c:strRef>
          </c:cat>
          <c:val>
            <c:numRef>
              <c:f>グラフ!$J$19:$J$23</c:f>
              <c:numCache>
                <c:formatCode>General</c:formatCode>
                <c:ptCount val="5"/>
                <c:pt idx="0">
                  <c:v>22</c:v>
                </c:pt>
                <c:pt idx="1">
                  <c:v>12</c:v>
                </c:pt>
                <c:pt idx="2">
                  <c:v>10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F922-43B6-A92E-3AB44E62AAF0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ayout>
        <c:manualLayout>
          <c:xMode val="edge"/>
          <c:yMode val="edge"/>
          <c:x val="0.78343788620831056"/>
          <c:y val="0.40402122236080684"/>
          <c:w val="0.1545904889884005"/>
          <c:h val="0.33015296477737882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A497-4799-8065-7AC7996B7CC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A497-4799-8065-7AC7996B7CC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A497-4799-8065-7AC7996B7CC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A497-4799-8065-7AC7996B7CC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A497-4799-8065-7AC7996B7CC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A-A497-4799-8065-7AC7996B7CC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C-A497-4799-8065-7AC7996B7CC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グラフ!$B$26:$B$31</c:f>
              <c:strCache>
                <c:ptCount val="6"/>
                <c:pt idx="0">
                  <c:v>マップ機能</c:v>
                </c:pt>
                <c:pt idx="1">
                  <c:v>情報・写真（各建物の詳細）</c:v>
                </c:pt>
                <c:pt idx="2">
                  <c:v>近隣のお店の紹介</c:v>
                </c:pt>
                <c:pt idx="3">
                  <c:v>バッジ機能</c:v>
                </c:pt>
                <c:pt idx="4">
                  <c:v>多言語化</c:v>
                </c:pt>
                <c:pt idx="5">
                  <c:v>その他</c:v>
                </c:pt>
              </c:strCache>
            </c:strRef>
          </c:cat>
          <c:val>
            <c:numRef>
              <c:f>グラフ!$J$26:$J$31</c:f>
              <c:numCache>
                <c:formatCode>General</c:formatCode>
                <c:ptCount val="6"/>
                <c:pt idx="0">
                  <c:v>21</c:v>
                </c:pt>
                <c:pt idx="1">
                  <c:v>18</c:v>
                </c:pt>
                <c:pt idx="2">
                  <c:v>11</c:v>
                </c:pt>
                <c:pt idx="3">
                  <c:v>10</c:v>
                </c:pt>
                <c:pt idx="4">
                  <c:v>9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497-4799-8065-7AC7996B7CC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egendEntry>
        <c:idx val="5"/>
        <c:txPr>
          <a:bodyPr rot="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</c:legendEntry>
      <c:layout>
        <c:manualLayout>
          <c:xMode val="edge"/>
          <c:yMode val="edge"/>
          <c:x val="0.67846973705113489"/>
          <c:y val="0.16029622751040709"/>
          <c:w val="0.26202193540382124"/>
          <c:h val="0.65752212795020237"/>
        </c:manualLayout>
      </c:layout>
      <c:overlay val="0"/>
      <c:spPr>
        <a:solidFill>
          <a:schemeClr val="bg1">
            <a:lumMod val="95000"/>
          </a:schemeClr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636454</xdr:colOff>
      <xdr:row>1</xdr:row>
      <xdr:rowOff>303830</xdr:rowOff>
    </xdr:from>
    <xdr:to>
      <xdr:col>21</xdr:col>
      <xdr:colOff>558800</xdr:colOff>
      <xdr:row>14</xdr:row>
      <xdr:rowOff>25400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06B7AA9-19AC-9C0B-951B-958993DE8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534035</xdr:colOff>
      <xdr:row>16</xdr:row>
      <xdr:rowOff>209120</xdr:rowOff>
    </xdr:from>
    <xdr:to>
      <xdr:col>21</xdr:col>
      <xdr:colOff>480920</xdr:colOff>
      <xdr:row>29</xdr:row>
      <xdr:rowOff>172718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80581D7-A181-DA7D-F87F-1951B500C1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473350</xdr:colOff>
      <xdr:row>32</xdr:row>
      <xdr:rowOff>20052</xdr:rowOff>
    </xdr:from>
    <xdr:to>
      <xdr:col>21</xdr:col>
      <xdr:colOff>453379</xdr:colOff>
      <xdr:row>47</xdr:row>
      <xdr:rowOff>205637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879E934C-D8F3-A3EF-DC05-EF01AE2F8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333350</xdr:colOff>
      <xdr:row>49</xdr:row>
      <xdr:rowOff>124245</xdr:rowOff>
    </xdr:from>
    <xdr:to>
      <xdr:col>21</xdr:col>
      <xdr:colOff>320339</xdr:colOff>
      <xdr:row>65</xdr:row>
      <xdr:rowOff>64777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CA1C89C4-4BD3-9A6C-1D80-14237BD293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651910</xdr:colOff>
      <xdr:row>67</xdr:row>
      <xdr:rowOff>63549</xdr:rowOff>
    </xdr:from>
    <xdr:to>
      <xdr:col>22</xdr:col>
      <xdr:colOff>52741</xdr:colOff>
      <xdr:row>83</xdr:row>
      <xdr:rowOff>114720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58B3DCD-94F0-5E15-A770-95BC7636B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23ED2-A9AA-4849-A210-6DF62FC2F6B8}">
  <dimension ref="A1:M30"/>
  <sheetViews>
    <sheetView zoomScale="120" zoomScaleNormal="58" workbookViewId="0">
      <selection activeCell="Q22" sqref="Q22"/>
    </sheetView>
  </sheetViews>
  <sheetFormatPr defaultRowHeight="18" x14ac:dyDescent="0.45"/>
  <cols>
    <col min="6" max="6" width="12.19921875" customWidth="1"/>
    <col min="7" max="7" width="10.3984375" customWidth="1"/>
    <col min="8" max="8" width="10.796875" customWidth="1"/>
    <col min="9" max="9" width="21.09765625" customWidth="1"/>
  </cols>
  <sheetData>
    <row r="1" spans="1:13" x14ac:dyDescent="0.45">
      <c r="A1" t="s">
        <v>32</v>
      </c>
    </row>
    <row r="2" spans="1:13" ht="18.600000000000001" thickBot="1" x14ac:dyDescent="0.5">
      <c r="G2" t="s">
        <v>33</v>
      </c>
      <c r="H2" s="12">
        <v>45703</v>
      </c>
      <c r="I2" t="s">
        <v>34</v>
      </c>
    </row>
    <row r="3" spans="1:13" ht="18.600000000000001" thickBot="1" x14ac:dyDescent="0.5">
      <c r="A3" s="19" t="s">
        <v>0</v>
      </c>
      <c r="B3" s="18"/>
      <c r="C3" s="2"/>
      <c r="D3" s="18" t="s">
        <v>30</v>
      </c>
      <c r="E3" s="18"/>
      <c r="F3" s="3" t="s">
        <v>31</v>
      </c>
      <c r="G3" s="3" t="s">
        <v>24</v>
      </c>
      <c r="H3" s="3" t="s">
        <v>26</v>
      </c>
      <c r="I3" s="4" t="s">
        <v>25</v>
      </c>
    </row>
    <row r="4" spans="1:13" ht="48" customHeight="1" x14ac:dyDescent="0.45">
      <c r="A4" s="15" t="s">
        <v>23</v>
      </c>
      <c r="B4" s="17"/>
      <c r="C4" s="17"/>
      <c r="D4" s="17"/>
      <c r="E4" s="17"/>
      <c r="F4" s="10"/>
      <c r="G4" s="10"/>
      <c r="H4" s="10"/>
      <c r="I4" s="11"/>
    </row>
    <row r="5" spans="1:13" x14ac:dyDescent="0.45">
      <c r="A5" s="6"/>
      <c r="B5" t="s">
        <v>1</v>
      </c>
      <c r="F5">
        <v>10</v>
      </c>
      <c r="G5">
        <v>0</v>
      </c>
      <c r="H5">
        <v>2</v>
      </c>
      <c r="I5" s="5">
        <v>1</v>
      </c>
    </row>
    <row r="6" spans="1:13" ht="18" customHeight="1" x14ac:dyDescent="0.45">
      <c r="A6" s="6"/>
      <c r="B6" t="s">
        <v>2</v>
      </c>
      <c r="F6">
        <v>12</v>
      </c>
      <c r="G6">
        <v>0</v>
      </c>
      <c r="H6">
        <v>1</v>
      </c>
      <c r="I6" s="5">
        <v>2</v>
      </c>
    </row>
    <row r="7" spans="1:13" x14ac:dyDescent="0.45">
      <c r="A7" s="6"/>
      <c r="B7" t="s">
        <v>3</v>
      </c>
      <c r="F7">
        <v>5</v>
      </c>
      <c r="G7">
        <v>0</v>
      </c>
      <c r="H7">
        <v>1</v>
      </c>
      <c r="I7" s="5">
        <v>2</v>
      </c>
    </row>
    <row r="8" spans="1:13" x14ac:dyDescent="0.45">
      <c r="A8" s="6"/>
      <c r="B8" t="s">
        <v>4</v>
      </c>
      <c r="F8">
        <v>3</v>
      </c>
      <c r="G8">
        <v>0</v>
      </c>
      <c r="H8">
        <v>0</v>
      </c>
      <c r="I8" s="5">
        <v>1</v>
      </c>
    </row>
    <row r="9" spans="1:13" x14ac:dyDescent="0.45">
      <c r="A9" s="6"/>
      <c r="B9" t="s">
        <v>5</v>
      </c>
      <c r="F9">
        <v>0</v>
      </c>
      <c r="G9">
        <v>0</v>
      </c>
      <c r="H9">
        <v>0</v>
      </c>
      <c r="I9" s="5">
        <v>2</v>
      </c>
    </row>
    <row r="10" spans="1:13" x14ac:dyDescent="0.45">
      <c r="A10" s="6"/>
      <c r="B10" t="s">
        <v>6</v>
      </c>
      <c r="F10">
        <v>3</v>
      </c>
      <c r="G10">
        <v>0</v>
      </c>
      <c r="H10">
        <v>2</v>
      </c>
      <c r="I10" s="5">
        <v>1</v>
      </c>
    </row>
    <row r="11" spans="1:13" ht="18.600000000000001" thickBot="1" x14ac:dyDescent="0.5">
      <c r="A11" s="7"/>
      <c r="B11" s="8" t="s">
        <v>7</v>
      </c>
      <c r="C11" s="8"/>
      <c r="D11" s="8"/>
      <c r="E11" s="8"/>
      <c r="F11" s="8">
        <v>6</v>
      </c>
      <c r="G11" s="8">
        <v>0</v>
      </c>
      <c r="H11" s="8">
        <v>0</v>
      </c>
      <c r="I11" s="9">
        <v>1</v>
      </c>
    </row>
    <row r="12" spans="1:13" ht="47.4" customHeight="1" x14ac:dyDescent="0.45">
      <c r="A12" s="13" t="s">
        <v>8</v>
      </c>
      <c r="B12" s="14"/>
      <c r="C12" s="14"/>
      <c r="D12" s="14"/>
      <c r="E12" s="14"/>
      <c r="F12" s="10"/>
      <c r="G12" s="10"/>
      <c r="H12" s="10"/>
      <c r="I12" s="11"/>
      <c r="M12" t="s">
        <v>28</v>
      </c>
    </row>
    <row r="13" spans="1:13" x14ac:dyDescent="0.45">
      <c r="A13" s="6"/>
      <c r="B13" t="s">
        <v>9</v>
      </c>
      <c r="F13">
        <v>0</v>
      </c>
      <c r="G13">
        <v>0</v>
      </c>
      <c r="H13">
        <v>0</v>
      </c>
      <c r="I13" s="5">
        <v>0</v>
      </c>
    </row>
    <row r="14" spans="1:13" x14ac:dyDescent="0.45">
      <c r="A14" s="6"/>
      <c r="B14" s="1">
        <v>2</v>
      </c>
      <c r="F14">
        <v>0</v>
      </c>
      <c r="G14">
        <v>0</v>
      </c>
      <c r="H14">
        <v>0</v>
      </c>
      <c r="I14" s="5">
        <v>0</v>
      </c>
    </row>
    <row r="15" spans="1:13" x14ac:dyDescent="0.45">
      <c r="A15" s="6"/>
      <c r="B15" s="1">
        <v>3</v>
      </c>
      <c r="F15">
        <v>9</v>
      </c>
      <c r="G15">
        <v>0</v>
      </c>
      <c r="H15">
        <v>3</v>
      </c>
      <c r="I15" s="5">
        <v>0</v>
      </c>
    </row>
    <row r="16" spans="1:13" x14ac:dyDescent="0.45">
      <c r="A16" s="6"/>
      <c r="B16" s="1">
        <v>4</v>
      </c>
      <c r="F16">
        <v>6</v>
      </c>
      <c r="G16">
        <v>0</v>
      </c>
      <c r="H16">
        <v>1</v>
      </c>
      <c r="I16" s="5">
        <v>6</v>
      </c>
    </row>
    <row r="17" spans="1:9" ht="18.600000000000001" thickBot="1" x14ac:dyDescent="0.5">
      <c r="A17" s="7"/>
      <c r="B17" s="8" t="s">
        <v>10</v>
      </c>
      <c r="C17" s="8"/>
      <c r="D17" s="8"/>
      <c r="E17" s="8"/>
      <c r="F17" s="8">
        <v>27</v>
      </c>
      <c r="G17" s="8">
        <v>0</v>
      </c>
      <c r="H17" s="8">
        <v>5</v>
      </c>
      <c r="I17" s="9">
        <v>2</v>
      </c>
    </row>
    <row r="18" spans="1:9" ht="31.8" customHeight="1" x14ac:dyDescent="0.45">
      <c r="A18" s="13" t="s">
        <v>11</v>
      </c>
      <c r="B18" s="14"/>
      <c r="C18" s="14"/>
      <c r="D18" s="14"/>
      <c r="E18" s="14"/>
      <c r="F18" s="10"/>
      <c r="G18" s="10"/>
      <c r="H18" s="10"/>
      <c r="I18" s="11"/>
    </row>
    <row r="19" spans="1:9" x14ac:dyDescent="0.45">
      <c r="A19" s="6"/>
      <c r="B19" t="s">
        <v>12</v>
      </c>
      <c r="F19">
        <v>0</v>
      </c>
      <c r="G19">
        <v>0</v>
      </c>
      <c r="H19">
        <v>0</v>
      </c>
      <c r="I19" s="5">
        <v>0</v>
      </c>
    </row>
    <row r="20" spans="1:9" x14ac:dyDescent="0.45">
      <c r="A20" s="6"/>
      <c r="B20" t="s">
        <v>13</v>
      </c>
      <c r="F20">
        <v>9</v>
      </c>
      <c r="G20">
        <v>0</v>
      </c>
      <c r="H20">
        <v>0</v>
      </c>
      <c r="I20" s="5">
        <v>3</v>
      </c>
    </row>
    <row r="21" spans="1:9" x14ac:dyDescent="0.45">
      <c r="A21" s="6"/>
      <c r="B21" t="s">
        <v>14</v>
      </c>
      <c r="F21">
        <v>20</v>
      </c>
      <c r="G21">
        <v>0</v>
      </c>
      <c r="H21">
        <v>1</v>
      </c>
      <c r="I21" s="5">
        <v>1</v>
      </c>
    </row>
    <row r="22" spans="1:9" x14ac:dyDescent="0.45">
      <c r="A22" s="6"/>
      <c r="B22" t="s">
        <v>15</v>
      </c>
      <c r="F22">
        <v>6</v>
      </c>
      <c r="G22">
        <v>0</v>
      </c>
      <c r="H22">
        <v>1</v>
      </c>
      <c r="I22" s="5">
        <v>3</v>
      </c>
    </row>
    <row r="23" spans="1:9" ht="18.600000000000001" thickBot="1" x14ac:dyDescent="0.5">
      <c r="A23" s="7"/>
      <c r="B23" s="8" t="s">
        <v>16</v>
      </c>
      <c r="C23" s="8"/>
      <c r="D23" s="8"/>
      <c r="E23" s="8"/>
      <c r="F23" s="8">
        <v>0</v>
      </c>
      <c r="G23" s="8">
        <v>0</v>
      </c>
      <c r="H23" s="8">
        <v>0</v>
      </c>
      <c r="I23" s="9">
        <v>0</v>
      </c>
    </row>
    <row r="24" spans="1:9" ht="52.2" customHeight="1" x14ac:dyDescent="0.45">
      <c r="A24" s="15" t="s">
        <v>38</v>
      </c>
      <c r="B24" s="16"/>
      <c r="C24" s="16"/>
      <c r="D24" s="16"/>
      <c r="E24" s="16"/>
      <c r="I24" s="5"/>
    </row>
    <row r="25" spans="1:9" x14ac:dyDescent="0.45">
      <c r="A25" s="6"/>
      <c r="B25" t="s">
        <v>17</v>
      </c>
      <c r="F25">
        <v>17</v>
      </c>
      <c r="G25">
        <v>0</v>
      </c>
      <c r="H25">
        <v>1</v>
      </c>
      <c r="I25" s="5">
        <v>3</v>
      </c>
    </row>
    <row r="26" spans="1:9" x14ac:dyDescent="0.45">
      <c r="A26" s="6"/>
      <c r="B26" t="s">
        <v>18</v>
      </c>
      <c r="F26">
        <v>13</v>
      </c>
      <c r="G26">
        <v>0</v>
      </c>
      <c r="H26">
        <v>2</v>
      </c>
      <c r="I26" s="5">
        <v>3</v>
      </c>
    </row>
    <row r="27" spans="1:9" x14ac:dyDescent="0.45">
      <c r="A27" s="6"/>
      <c r="B27" t="s">
        <v>19</v>
      </c>
      <c r="F27">
        <v>5</v>
      </c>
      <c r="G27">
        <v>0</v>
      </c>
      <c r="H27">
        <v>0</v>
      </c>
      <c r="I27" s="5">
        <v>4</v>
      </c>
    </row>
    <row r="28" spans="1:9" x14ac:dyDescent="0.45">
      <c r="A28" s="6"/>
      <c r="B28" t="s">
        <v>20</v>
      </c>
      <c r="F28">
        <v>8</v>
      </c>
      <c r="G28">
        <v>0</v>
      </c>
      <c r="H28">
        <v>1</v>
      </c>
      <c r="I28" s="5">
        <v>1</v>
      </c>
    </row>
    <row r="29" spans="1:9" x14ac:dyDescent="0.45">
      <c r="A29" s="6"/>
      <c r="B29" t="s">
        <v>21</v>
      </c>
      <c r="F29">
        <v>9</v>
      </c>
      <c r="G29">
        <v>0</v>
      </c>
      <c r="H29">
        <v>0</v>
      </c>
      <c r="I29" s="5">
        <v>2</v>
      </c>
    </row>
    <row r="30" spans="1:9" ht="18.600000000000001" thickBot="1" x14ac:dyDescent="0.5">
      <c r="A30" s="7"/>
      <c r="B30" s="8" t="s">
        <v>22</v>
      </c>
      <c r="C30" s="8"/>
      <c r="D30" s="8"/>
      <c r="E30" s="8"/>
      <c r="F30" s="8">
        <v>0</v>
      </c>
      <c r="G30" s="8">
        <v>0</v>
      </c>
      <c r="H30" s="8">
        <v>0</v>
      </c>
      <c r="I30" s="9">
        <v>0</v>
      </c>
    </row>
  </sheetData>
  <mergeCells count="6">
    <mergeCell ref="A18:E18"/>
    <mergeCell ref="A12:E12"/>
    <mergeCell ref="A24:E24"/>
    <mergeCell ref="A4:E4"/>
    <mergeCell ref="D3:E3"/>
    <mergeCell ref="A3:B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44D37-3298-4C1F-9D70-CA648BB74AD4}">
  <dimension ref="A1:M31"/>
  <sheetViews>
    <sheetView tabSelected="1" topLeftCell="D16" zoomScale="60" zoomScaleNormal="85" workbookViewId="0">
      <selection activeCell="Z22" sqref="Z22"/>
    </sheetView>
  </sheetViews>
  <sheetFormatPr defaultRowHeight="18" x14ac:dyDescent="0.45"/>
  <cols>
    <col min="2" max="2" width="19.296875" customWidth="1"/>
    <col min="6" max="6" width="12.19921875" customWidth="1"/>
    <col min="7" max="7" width="10.3984375" customWidth="1"/>
    <col min="8" max="8" width="10.796875" customWidth="1"/>
    <col min="9" max="9" width="21.09765625" customWidth="1"/>
    <col min="12" max="12" width="18.796875" customWidth="1"/>
  </cols>
  <sheetData>
    <row r="1" spans="1:13" x14ac:dyDescent="0.45">
      <c r="A1" t="s">
        <v>0</v>
      </c>
      <c r="F1" t="s">
        <v>29</v>
      </c>
      <c r="G1" t="s">
        <v>24</v>
      </c>
      <c r="H1" t="s">
        <v>26</v>
      </c>
      <c r="I1" t="s">
        <v>25</v>
      </c>
      <c r="J1" t="s">
        <v>27</v>
      </c>
    </row>
    <row r="2" spans="1:13" ht="48" customHeight="1" x14ac:dyDescent="0.45">
      <c r="A2" s="20" t="s">
        <v>39</v>
      </c>
      <c r="B2" s="21"/>
      <c r="C2" s="21"/>
      <c r="D2" s="21"/>
      <c r="E2" s="21"/>
    </row>
    <row r="3" spans="1:13" x14ac:dyDescent="0.45">
      <c r="B3" t="s">
        <v>2</v>
      </c>
      <c r="F3">
        <v>12</v>
      </c>
      <c r="G3">
        <v>0</v>
      </c>
      <c r="H3">
        <v>1</v>
      </c>
      <c r="I3">
        <v>2</v>
      </c>
      <c r="J3">
        <f t="shared" ref="J3:J9" si="0">SUM(F3:I3)</f>
        <v>15</v>
      </c>
      <c r="L3" t="s">
        <v>35</v>
      </c>
      <c r="M3">
        <v>42</v>
      </c>
    </row>
    <row r="4" spans="1:13" x14ac:dyDescent="0.45">
      <c r="B4" t="s">
        <v>1</v>
      </c>
      <c r="F4">
        <v>10</v>
      </c>
      <c r="G4">
        <v>0</v>
      </c>
      <c r="H4">
        <v>2</v>
      </c>
      <c r="I4">
        <v>1</v>
      </c>
      <c r="J4">
        <f t="shared" si="0"/>
        <v>13</v>
      </c>
      <c r="L4" t="s">
        <v>36</v>
      </c>
      <c r="M4">
        <v>8</v>
      </c>
    </row>
    <row r="5" spans="1:13" x14ac:dyDescent="0.45">
      <c r="B5" t="s">
        <v>3</v>
      </c>
      <c r="F5">
        <v>5</v>
      </c>
      <c r="G5">
        <v>0</v>
      </c>
      <c r="H5">
        <v>1</v>
      </c>
      <c r="I5">
        <v>2</v>
      </c>
      <c r="J5">
        <f t="shared" si="0"/>
        <v>8</v>
      </c>
      <c r="L5" t="s">
        <v>37</v>
      </c>
      <c r="M5">
        <v>4</v>
      </c>
    </row>
    <row r="6" spans="1:13" x14ac:dyDescent="0.45">
      <c r="B6" t="s">
        <v>7</v>
      </c>
      <c r="F6">
        <v>6</v>
      </c>
      <c r="G6">
        <v>0</v>
      </c>
      <c r="H6">
        <v>0</v>
      </c>
      <c r="I6">
        <v>1</v>
      </c>
      <c r="J6">
        <f t="shared" si="0"/>
        <v>7</v>
      </c>
    </row>
    <row r="7" spans="1:13" x14ac:dyDescent="0.45">
      <c r="B7" t="s">
        <v>6</v>
      </c>
      <c r="F7">
        <v>3</v>
      </c>
      <c r="G7">
        <v>0</v>
      </c>
      <c r="H7">
        <v>2</v>
      </c>
      <c r="I7">
        <v>1</v>
      </c>
      <c r="J7">
        <f t="shared" si="0"/>
        <v>6</v>
      </c>
    </row>
    <row r="8" spans="1:13" x14ac:dyDescent="0.45">
      <c r="B8" t="s">
        <v>4</v>
      </c>
      <c r="F8">
        <v>3</v>
      </c>
      <c r="G8">
        <v>0</v>
      </c>
      <c r="H8">
        <v>0</v>
      </c>
      <c r="I8">
        <v>1</v>
      </c>
      <c r="J8">
        <f t="shared" si="0"/>
        <v>4</v>
      </c>
    </row>
    <row r="9" spans="1:13" x14ac:dyDescent="0.45">
      <c r="B9" t="s">
        <v>5</v>
      </c>
      <c r="F9">
        <v>0</v>
      </c>
      <c r="G9">
        <v>0</v>
      </c>
      <c r="H9">
        <v>0</v>
      </c>
      <c r="I9">
        <v>2</v>
      </c>
      <c r="J9">
        <f t="shared" si="0"/>
        <v>2</v>
      </c>
    </row>
    <row r="11" spans="1:13" ht="47.4" customHeight="1" x14ac:dyDescent="0.45">
      <c r="A11" s="22" t="s">
        <v>8</v>
      </c>
      <c r="B11" s="23"/>
      <c r="C11" s="23"/>
      <c r="D11" s="23"/>
      <c r="E11" s="23"/>
    </row>
    <row r="12" spans="1:13" x14ac:dyDescent="0.45">
      <c r="B12" t="s">
        <v>40</v>
      </c>
      <c r="F12">
        <v>27</v>
      </c>
      <c r="G12">
        <v>0</v>
      </c>
      <c r="H12">
        <v>5</v>
      </c>
      <c r="I12">
        <v>2</v>
      </c>
      <c r="J12">
        <f t="shared" ref="J12:J16" si="1">SUM(F12:I12)</f>
        <v>34</v>
      </c>
    </row>
    <row r="13" spans="1:13" x14ac:dyDescent="0.45">
      <c r="B13" s="1" t="s">
        <v>42</v>
      </c>
      <c r="F13">
        <v>6</v>
      </c>
      <c r="G13">
        <v>0</v>
      </c>
      <c r="H13">
        <v>1</v>
      </c>
      <c r="I13">
        <v>6</v>
      </c>
      <c r="J13">
        <f t="shared" si="1"/>
        <v>13</v>
      </c>
    </row>
    <row r="14" spans="1:13" x14ac:dyDescent="0.45">
      <c r="B14" s="1" t="s">
        <v>41</v>
      </c>
      <c r="F14">
        <v>9</v>
      </c>
      <c r="G14">
        <v>0</v>
      </c>
      <c r="H14">
        <v>3</v>
      </c>
      <c r="I14">
        <v>0</v>
      </c>
      <c r="J14">
        <f t="shared" si="1"/>
        <v>12</v>
      </c>
    </row>
    <row r="15" spans="1:13" x14ac:dyDescent="0.45">
      <c r="B15" s="1" t="s">
        <v>43</v>
      </c>
      <c r="F15">
        <v>0</v>
      </c>
      <c r="G15">
        <v>0</v>
      </c>
      <c r="H15">
        <v>0</v>
      </c>
      <c r="I15">
        <v>0</v>
      </c>
      <c r="J15">
        <f t="shared" si="1"/>
        <v>0</v>
      </c>
    </row>
    <row r="16" spans="1:13" x14ac:dyDescent="0.45">
      <c r="B16" t="s">
        <v>9</v>
      </c>
      <c r="F16">
        <v>0</v>
      </c>
      <c r="G16">
        <v>0</v>
      </c>
      <c r="H16">
        <v>0</v>
      </c>
      <c r="I16">
        <v>0</v>
      </c>
      <c r="J16">
        <f t="shared" si="1"/>
        <v>0</v>
      </c>
    </row>
    <row r="18" spans="1:10" ht="31.8" customHeight="1" x14ac:dyDescent="0.45">
      <c r="A18" s="22" t="s">
        <v>11</v>
      </c>
      <c r="B18" s="23"/>
      <c r="C18" s="23"/>
      <c r="D18" s="23"/>
      <c r="E18" s="23"/>
    </row>
    <row r="19" spans="1:10" x14ac:dyDescent="0.45">
      <c r="B19" t="s">
        <v>14</v>
      </c>
      <c r="F19">
        <v>20</v>
      </c>
      <c r="G19">
        <v>0</v>
      </c>
      <c r="H19">
        <v>1</v>
      </c>
      <c r="I19">
        <v>1</v>
      </c>
      <c r="J19">
        <f>SUM(F19:I19)</f>
        <v>22</v>
      </c>
    </row>
    <row r="20" spans="1:10" x14ac:dyDescent="0.45">
      <c r="B20" t="s">
        <v>13</v>
      </c>
      <c r="F20">
        <v>9</v>
      </c>
      <c r="G20">
        <v>0</v>
      </c>
      <c r="H20">
        <v>0</v>
      </c>
      <c r="I20">
        <v>3</v>
      </c>
      <c r="J20">
        <f>SUM(F20:I20)</f>
        <v>12</v>
      </c>
    </row>
    <row r="21" spans="1:10" x14ac:dyDescent="0.45">
      <c r="B21" t="s">
        <v>15</v>
      </c>
      <c r="F21">
        <v>6</v>
      </c>
      <c r="G21">
        <v>0</v>
      </c>
      <c r="H21">
        <v>1</v>
      </c>
      <c r="I21">
        <v>3</v>
      </c>
      <c r="J21">
        <f>SUM(F21:I21)</f>
        <v>10</v>
      </c>
    </row>
    <row r="22" spans="1:10" x14ac:dyDescent="0.45">
      <c r="B22" t="s">
        <v>12</v>
      </c>
      <c r="F22">
        <v>0</v>
      </c>
      <c r="G22">
        <v>0</v>
      </c>
      <c r="H22">
        <v>0</v>
      </c>
      <c r="I22">
        <v>0</v>
      </c>
      <c r="J22">
        <f>SUM(F22:I22)</f>
        <v>0</v>
      </c>
    </row>
    <row r="23" spans="1:10" x14ac:dyDescent="0.45">
      <c r="B23" t="s">
        <v>16</v>
      </c>
      <c r="F23">
        <v>0</v>
      </c>
      <c r="G23">
        <v>0</v>
      </c>
      <c r="H23">
        <v>0</v>
      </c>
      <c r="I23">
        <v>0</v>
      </c>
      <c r="J23">
        <f>SUM(F23:I23)</f>
        <v>0</v>
      </c>
    </row>
    <row r="25" spans="1:10" ht="52.2" customHeight="1" x14ac:dyDescent="0.45">
      <c r="A25" s="20" t="s">
        <v>38</v>
      </c>
      <c r="B25" s="21"/>
      <c r="C25" s="21"/>
      <c r="D25" s="21"/>
      <c r="E25" s="21"/>
    </row>
    <row r="26" spans="1:10" x14ac:dyDescent="0.45">
      <c r="B26" t="s">
        <v>17</v>
      </c>
      <c r="F26">
        <v>17</v>
      </c>
      <c r="G26">
        <v>0</v>
      </c>
      <c r="H26">
        <v>1</v>
      </c>
      <c r="I26">
        <v>3</v>
      </c>
      <c r="J26">
        <f t="shared" ref="J26:J31" si="2">SUM(F26:I26)</f>
        <v>21</v>
      </c>
    </row>
    <row r="27" spans="1:10" x14ac:dyDescent="0.45">
      <c r="B27" t="s">
        <v>18</v>
      </c>
      <c r="F27">
        <v>13</v>
      </c>
      <c r="G27">
        <v>0</v>
      </c>
      <c r="H27">
        <v>2</v>
      </c>
      <c r="I27">
        <v>3</v>
      </c>
      <c r="J27">
        <f t="shared" si="2"/>
        <v>18</v>
      </c>
    </row>
    <row r="28" spans="1:10" x14ac:dyDescent="0.45">
      <c r="B28" t="s">
        <v>21</v>
      </c>
      <c r="F28">
        <v>9</v>
      </c>
      <c r="G28">
        <v>0</v>
      </c>
      <c r="H28">
        <v>0</v>
      </c>
      <c r="I28">
        <v>2</v>
      </c>
      <c r="J28">
        <f t="shared" si="2"/>
        <v>11</v>
      </c>
    </row>
    <row r="29" spans="1:10" x14ac:dyDescent="0.45">
      <c r="B29" t="s">
        <v>20</v>
      </c>
      <c r="F29">
        <v>8</v>
      </c>
      <c r="G29">
        <v>0</v>
      </c>
      <c r="H29">
        <v>1</v>
      </c>
      <c r="I29">
        <v>1</v>
      </c>
      <c r="J29">
        <f t="shared" si="2"/>
        <v>10</v>
      </c>
    </row>
    <row r="30" spans="1:10" x14ac:dyDescent="0.45">
      <c r="B30" t="s">
        <v>19</v>
      </c>
      <c r="F30">
        <v>5</v>
      </c>
      <c r="G30">
        <v>0</v>
      </c>
      <c r="H30">
        <v>0</v>
      </c>
      <c r="I30">
        <v>4</v>
      </c>
      <c r="J30">
        <f t="shared" si="2"/>
        <v>9</v>
      </c>
    </row>
    <row r="31" spans="1:10" x14ac:dyDescent="0.45">
      <c r="B31" t="s">
        <v>22</v>
      </c>
      <c r="F31">
        <v>0</v>
      </c>
      <c r="G31">
        <v>0</v>
      </c>
      <c r="H31">
        <v>0</v>
      </c>
      <c r="I31">
        <v>0</v>
      </c>
      <c r="J31">
        <f t="shared" si="2"/>
        <v>0</v>
      </c>
    </row>
  </sheetData>
  <sortState xmlns:xlrd2="http://schemas.microsoft.com/office/spreadsheetml/2017/richdata2" ref="B26:J31">
    <sortCondition descending="1" ref="J26:J31"/>
  </sortState>
  <mergeCells count="4">
    <mergeCell ref="A25:E25"/>
    <mergeCell ref="A2:E2"/>
    <mergeCell ref="A11:E11"/>
    <mergeCell ref="A18:E18"/>
  </mergeCells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データ</vt:lpstr>
      <vt:lpstr>グラフ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 kane</dc:creator>
  <cp:lastModifiedBy>00 kane</cp:lastModifiedBy>
  <dcterms:created xsi:type="dcterms:W3CDTF">2025-02-15T07:48:31Z</dcterms:created>
  <dcterms:modified xsi:type="dcterms:W3CDTF">2025-02-19T04:14:05Z</dcterms:modified>
</cp:coreProperties>
</file>